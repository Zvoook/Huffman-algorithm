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mitriy\Downloads\Telegram Desktop\"/>
    </mc:Choice>
  </mc:AlternateContent>
  <xr:revisionPtr revIDLastSave="0" documentId="13_ncr:1_{2B629F46-DD98-4AEE-BABD-4A476728C84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21" i="1" s="1"/>
  <c r="K14" i="1"/>
  <c r="R13" i="1"/>
  <c r="D13" i="1"/>
  <c r="L14" i="1"/>
  <c r="L22" i="1" s="1"/>
  <c r="J14" i="1"/>
  <c r="T12" i="1"/>
  <c r="F12" i="1"/>
  <c r="F20" i="1" s="1"/>
  <c r="M12" i="1"/>
  <c r="M20" i="1" s="1"/>
  <c r="L20" i="1"/>
  <c r="J22" i="1"/>
  <c r="K22" i="1"/>
  <c r="L12" i="1"/>
  <c r="S12" i="1"/>
  <c r="E12" i="1"/>
  <c r="E20" i="1" s="1"/>
  <c r="J12" i="1"/>
  <c r="J20" i="1" s="1"/>
  <c r="K12" i="1"/>
  <c r="K20" i="1" s="1"/>
  <c r="R12" i="1"/>
  <c r="D12" i="1"/>
  <c r="D20" i="1" s="1"/>
  <c r="Q12" i="1"/>
  <c r="C14" i="1"/>
  <c r="C22" i="1" s="1"/>
  <c r="C13" i="1"/>
  <c r="C21" i="1" s="1"/>
  <c r="C12" i="1"/>
  <c r="C20" i="1" s="1"/>
  <c r="Q11" i="1"/>
  <c r="P11" i="1"/>
  <c r="C11" i="1"/>
  <c r="C19" i="1" s="1"/>
  <c r="B11" i="1"/>
  <c r="T11" i="1"/>
  <c r="F11" i="1"/>
  <c r="F19" i="1" s="1"/>
  <c r="M11" i="1"/>
  <c r="M19" i="1" s="1"/>
  <c r="J11" i="1"/>
  <c r="J19" i="1" s="1"/>
  <c r="K11" i="1"/>
  <c r="K19" i="1" s="1"/>
  <c r="L11" i="1"/>
  <c r="L19" i="1" s="1"/>
  <c r="S11" i="1"/>
  <c r="E11" i="1"/>
  <c r="E19" i="1" s="1"/>
  <c r="B20" i="1"/>
  <c r="D21" i="1"/>
  <c r="S19" i="1" l="1"/>
  <c r="R11" i="1"/>
  <c r="D11" i="1"/>
  <c r="D19" i="1" s="1"/>
  <c r="I11" i="1"/>
  <c r="I19" i="1" s="1"/>
  <c r="P19" i="1"/>
  <c r="S14" i="1"/>
  <c r="S22" i="1" s="1"/>
  <c r="E14" i="1"/>
  <c r="E22" i="1" s="1"/>
  <c r="R14" i="1"/>
  <c r="R22" i="1" s="1"/>
  <c r="D14" i="1"/>
  <c r="D22" i="1" s="1"/>
  <c r="Q14" i="1"/>
  <c r="Q22" i="1" s="1"/>
  <c r="I14" i="1"/>
  <c r="I22" i="1" s="1"/>
  <c r="P14" i="1"/>
  <c r="P22" i="1" s="1"/>
  <c r="B14" i="1"/>
  <c r="B22" i="1" s="1"/>
  <c r="L13" i="1"/>
  <c r="L21" i="1" s="1"/>
  <c r="S13" i="1"/>
  <c r="E13" i="1"/>
  <c r="E21" i="1" s="1"/>
  <c r="J13" i="1"/>
  <c r="J21" i="1" s="1"/>
  <c r="Q13" i="1"/>
  <c r="Q21" i="1" s="1"/>
  <c r="I13" i="1"/>
  <c r="I21" i="1" s="1"/>
  <c r="P13" i="1"/>
  <c r="P21" i="1" s="1"/>
  <c r="B13" i="1"/>
  <c r="B21" i="1" s="1"/>
  <c r="I12" i="1"/>
  <c r="I20" i="1" s="1"/>
  <c r="P12" i="1"/>
  <c r="P20" i="1" s="1"/>
  <c r="Q20" i="1"/>
  <c r="R20" i="1"/>
  <c r="S20" i="1"/>
  <c r="T20" i="1"/>
  <c r="R21" i="1"/>
  <c r="S21" i="1"/>
  <c r="Q19" i="1"/>
  <c r="R19" i="1"/>
  <c r="T19" i="1"/>
  <c r="B19" i="1"/>
</calcChain>
</file>

<file path=xl/sharedStrings.xml><?xml version="1.0" encoding="utf-8"?>
<sst xmlns="http://schemas.openxmlformats.org/spreadsheetml/2006/main" count="77" uniqueCount="22">
  <si>
    <t>Тип файла</t>
  </si>
  <si>
    <t>TXT</t>
  </si>
  <si>
    <t>BMP</t>
  </si>
  <si>
    <t>WAV</t>
  </si>
  <si>
    <t>MOV</t>
  </si>
  <si>
    <t>от 0 до 3</t>
  </si>
  <si>
    <t>от 4 до 10</t>
  </si>
  <si>
    <t>от 11 до 30</t>
  </si>
  <si>
    <t>от 31до 60</t>
  </si>
  <si>
    <t>Время сжатия (сумма)</t>
  </si>
  <si>
    <t>Время сжатия (сред)</t>
  </si>
  <si>
    <t>Количество</t>
  </si>
  <si>
    <t>Коэфф сжатия (сумма)</t>
  </si>
  <si>
    <t>Коэфф сжатия (сред)</t>
  </si>
  <si>
    <t>Время расжатия (сумма)</t>
  </si>
  <si>
    <t>Время расжатия (сред)</t>
  </si>
  <si>
    <t>61-100</t>
  </si>
  <si>
    <t>от 0 до 3 Мб</t>
  </si>
  <si>
    <t>от 4 до 10 Мб</t>
  </si>
  <si>
    <t>от 11 до 30 Мб</t>
  </si>
  <si>
    <t>от 31до 60 Мб</t>
  </si>
  <si>
    <t>от 61 до 100 Мб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</si>
</sst>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  <charset val="204"/>
    </font>
    <font>
      <sz val="18"/>
      <color theme="1"/>
      <name val="Arial"/>
      <family val="2"/>
      <charset val="204"/>
    </font>
    <font>
      <sz val="18"/>
      <name val="Arial"/>
      <family val="2"/>
      <charset val="204"/>
    </font>
    <font>
      <b/>
      <sz val="2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16" fontId="1" fillId="0" borderId="8" xfId="0" applyNumberFormat="1" applyFont="1" applyBorder="1"/>
    <xf numFmtId="17" fontId="1" fillId="0" borderId="8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Fill="1"/>
    <xf numFmtId="0" fontId="2" fillId="0" borderId="5" xfId="0" applyFont="1" applyFill="1" applyBorder="1"/>
    <xf numFmtId="0" fontId="2" fillId="0" borderId="4" xfId="0" applyFont="1" applyFill="1" applyBorder="1"/>
    <xf numFmtId="0" fontId="2" fillId="0" borderId="6" xfId="0" applyFont="1" applyFill="1" applyBorder="1"/>
    <xf numFmtId="10" fontId="2" fillId="0" borderId="0" xfId="0" applyNumberFormat="1" applyFont="1" applyFill="1"/>
    <xf numFmtId="10" fontId="2" fillId="0" borderId="5" xfId="0" applyNumberFormat="1" applyFont="1" applyFill="1" applyBorder="1"/>
    <xf numFmtId="10" fontId="2" fillId="0" borderId="4" xfId="0" applyNumberFormat="1" applyFont="1" applyFill="1" applyBorder="1"/>
    <xf numFmtId="10" fontId="2" fillId="0" borderId="6" xfId="0" applyNumberFormat="1" applyFont="1" applyFill="1" applyBorder="1"/>
    <xf numFmtId="0" fontId="4" fillId="0" borderId="0" xfId="0" applyFont="1" applyBorder="1"/>
    <xf numFmtId="0" fontId="0" fillId="0" borderId="0" xfId="0" applyBorder="1"/>
    <xf numFmtId="9" fontId="0" fillId="0" borderId="0" xfId="1" applyFont="1" applyBorder="1"/>
    <xf numFmtId="0" fontId="3" fillId="0" borderId="7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0" borderId="1" xfId="0" applyFont="1" applyFill="1" applyBorder="1"/>
    <xf numFmtId="0" fontId="1" fillId="0" borderId="7" xfId="0" applyFont="1" applyFill="1" applyBorder="1"/>
    <xf numFmtId="16" fontId="1" fillId="0" borderId="8" xfId="0" applyNumberFormat="1" applyFont="1" applyFill="1" applyBorder="1"/>
    <xf numFmtId="17" fontId="1" fillId="0" borderId="8" xfId="0" applyNumberFormat="1" applyFont="1" applyFill="1" applyBorder="1"/>
    <xf numFmtId="0" fontId="1" fillId="0" borderId="8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10" fontId="2" fillId="0" borderId="0" xfId="0" applyNumberFormat="1" applyFont="1" applyFill="1" applyBorder="1"/>
    <xf numFmtId="0" fontId="2" fillId="0" borderId="0" xfId="0" applyFon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zoomScale="63" zoomScaleNormal="56" workbookViewId="0">
      <selection activeCell="H21" sqref="H21"/>
    </sheetView>
  </sheetViews>
  <sheetFormatPr defaultRowHeight="15" x14ac:dyDescent="0.2"/>
  <cols>
    <col min="1" max="1" width="14.6640625" bestFit="1" customWidth="1"/>
    <col min="2" max="2" width="16.6640625" bestFit="1" customWidth="1"/>
    <col min="3" max="3" width="18.21875" bestFit="1" customWidth="1"/>
    <col min="4" max="4" width="19.6640625" bestFit="1" customWidth="1"/>
    <col min="5" max="5" width="18.88671875" bestFit="1" customWidth="1"/>
    <col min="6" max="6" width="21.109375" bestFit="1" customWidth="1"/>
    <col min="7" max="7" width="15.6640625" customWidth="1"/>
    <col min="8" max="8" width="14.6640625" bestFit="1" customWidth="1"/>
    <col min="9" max="9" width="16.6640625" bestFit="1" customWidth="1"/>
    <col min="10" max="10" width="18.21875" bestFit="1" customWidth="1"/>
    <col min="11" max="11" width="19.6640625" bestFit="1" customWidth="1"/>
    <col min="12" max="12" width="18.88671875" bestFit="1" customWidth="1"/>
    <col min="13" max="13" width="21.109375" bestFit="1" customWidth="1"/>
    <col min="14" max="14" width="15.6640625" customWidth="1"/>
    <col min="15" max="15" width="14.6640625" bestFit="1" customWidth="1"/>
    <col min="16" max="16" width="16.6640625" bestFit="1" customWidth="1"/>
    <col min="17" max="17" width="18.21875" customWidth="1"/>
    <col min="18" max="18" width="19.6640625" bestFit="1" customWidth="1"/>
    <col min="19" max="19" width="18.88671875" bestFit="1" customWidth="1"/>
    <col min="20" max="20" width="21.109375" bestFit="1" customWidth="1"/>
  </cols>
  <sheetData>
    <row r="1" spans="1:20" ht="42" customHeight="1" thickBot="1" x14ac:dyDescent="0.45">
      <c r="A1" s="9" t="s">
        <v>11</v>
      </c>
      <c r="B1" s="10"/>
      <c r="C1" s="10"/>
      <c r="D1" s="10"/>
      <c r="E1" s="10"/>
      <c r="F1" s="11"/>
    </row>
    <row r="2" spans="1:20" ht="31.5" customHeight="1" thickBot="1" x14ac:dyDescent="0.4">
      <c r="A2" s="1" t="s">
        <v>0</v>
      </c>
      <c r="B2" s="4" t="s">
        <v>17</v>
      </c>
      <c r="C2" s="5" t="s">
        <v>18</v>
      </c>
      <c r="D2" s="6" t="s">
        <v>19</v>
      </c>
      <c r="E2" s="7" t="s">
        <v>20</v>
      </c>
      <c r="F2" s="8" t="s">
        <v>21</v>
      </c>
    </row>
    <row r="3" spans="1:20" ht="31.5" customHeight="1" x14ac:dyDescent="0.35">
      <c r="A3" s="2" t="s">
        <v>1</v>
      </c>
      <c r="B3" s="34">
        <v>5</v>
      </c>
      <c r="C3" s="34">
        <v>5</v>
      </c>
      <c r="D3" s="34">
        <v>5</v>
      </c>
      <c r="E3" s="34">
        <v>5</v>
      </c>
      <c r="F3" s="13">
        <v>5</v>
      </c>
      <c r="H3" s="20"/>
      <c r="I3" s="21"/>
    </row>
    <row r="4" spans="1:20" ht="31.5" customHeight="1" x14ac:dyDescent="0.35">
      <c r="A4" s="2" t="s">
        <v>2</v>
      </c>
      <c r="B4" s="34">
        <v>5</v>
      </c>
      <c r="C4" s="34">
        <v>5</v>
      </c>
      <c r="D4" s="34">
        <v>5</v>
      </c>
      <c r="E4" s="34">
        <v>5</v>
      </c>
      <c r="F4" s="13">
        <v>5</v>
      </c>
      <c r="H4" s="20"/>
      <c r="I4" s="21"/>
    </row>
    <row r="5" spans="1:20" ht="31.5" customHeight="1" x14ac:dyDescent="0.35">
      <c r="A5" s="2" t="s">
        <v>3</v>
      </c>
      <c r="B5" s="34">
        <v>5</v>
      </c>
      <c r="C5" s="34">
        <v>5</v>
      </c>
      <c r="D5" s="34">
        <v>5</v>
      </c>
      <c r="E5" s="34">
        <v>5</v>
      </c>
      <c r="F5" s="13"/>
      <c r="H5" s="21"/>
      <c r="I5" s="21"/>
    </row>
    <row r="6" spans="1:20" ht="31.5" customHeight="1" thickBot="1" x14ac:dyDescent="0.4">
      <c r="A6" s="3" t="s">
        <v>4</v>
      </c>
      <c r="B6" s="14">
        <v>5</v>
      </c>
      <c r="C6" s="14">
        <v>5</v>
      </c>
      <c r="D6" s="14">
        <v>5</v>
      </c>
      <c r="E6" s="14">
        <v>4</v>
      </c>
      <c r="F6" s="15"/>
      <c r="H6" s="20"/>
      <c r="I6" s="22"/>
    </row>
    <row r="7" spans="1:20" ht="30.75" customHeight="1" x14ac:dyDescent="0.2"/>
    <row r="8" spans="1:20" ht="30.75" hidden="1" customHeight="1" x14ac:dyDescent="0.2"/>
    <row r="9" spans="1:20" ht="42.75" hidden="1" customHeight="1" thickBot="1" x14ac:dyDescent="0.45">
      <c r="A9" s="9" t="s">
        <v>9</v>
      </c>
      <c r="B9" s="10"/>
      <c r="C9" s="10"/>
      <c r="D9" s="10"/>
      <c r="E9" s="10"/>
      <c r="F9" s="10"/>
      <c r="H9" s="9" t="s">
        <v>12</v>
      </c>
      <c r="I9" s="10"/>
      <c r="J9" s="10"/>
      <c r="K9" s="10"/>
      <c r="L9" s="10"/>
      <c r="M9" s="10"/>
      <c r="O9" s="23" t="s">
        <v>14</v>
      </c>
      <c r="P9" s="24"/>
      <c r="Q9" s="24"/>
      <c r="R9" s="24"/>
      <c r="S9" s="24"/>
      <c r="T9" s="24"/>
    </row>
    <row r="10" spans="1:20" ht="38.25" hidden="1" customHeight="1" thickBot="1" x14ac:dyDescent="0.4">
      <c r="A10" s="1" t="s">
        <v>0</v>
      </c>
      <c r="B10" s="4" t="s">
        <v>5</v>
      </c>
      <c r="C10" s="5" t="s">
        <v>6</v>
      </c>
      <c r="D10" s="6" t="s">
        <v>7</v>
      </c>
      <c r="E10" s="7" t="s">
        <v>8</v>
      </c>
      <c r="F10" s="7" t="s">
        <v>16</v>
      </c>
      <c r="H10" s="1" t="s">
        <v>0</v>
      </c>
      <c r="I10" s="4" t="s">
        <v>5</v>
      </c>
      <c r="J10" s="5" t="s">
        <v>6</v>
      </c>
      <c r="K10" s="6" t="s">
        <v>7</v>
      </c>
      <c r="L10" s="7" t="s">
        <v>8</v>
      </c>
      <c r="M10" s="7" t="s">
        <v>16</v>
      </c>
      <c r="O10" s="26" t="s">
        <v>0</v>
      </c>
      <c r="P10" s="27" t="s">
        <v>5</v>
      </c>
      <c r="Q10" s="28" t="s">
        <v>6</v>
      </c>
      <c r="R10" s="29" t="s">
        <v>7</v>
      </c>
      <c r="S10" s="30" t="s">
        <v>8</v>
      </c>
      <c r="T10" s="30" t="s">
        <v>16</v>
      </c>
    </row>
    <row r="11" spans="1:20" ht="38.25" hidden="1" customHeight="1" thickBot="1" x14ac:dyDescent="0.4">
      <c r="A11" s="2" t="s">
        <v>1</v>
      </c>
      <c r="B11" s="12">
        <f>0.5+0.5+0.5+0.5+0.5</f>
        <v>2.5</v>
      </c>
      <c r="C11" s="12">
        <f>1+1+2+1+0.5</f>
        <v>5.5</v>
      </c>
      <c r="D11" s="12">
        <f>2+3+2+4+2</f>
        <v>13</v>
      </c>
      <c r="E11" s="12">
        <f>4+7+5+8+4</f>
        <v>28</v>
      </c>
      <c r="F11" s="12">
        <f>9+11+10+12+11</f>
        <v>53</v>
      </c>
      <c r="H11" s="2" t="s">
        <v>1</v>
      </c>
      <c r="I11" s="16">
        <f>0.59+0.539+0.56+0.564+0.567</f>
        <v>2.8200000000000003</v>
      </c>
      <c r="J11" s="16">
        <f>0.621+0.56+0.6+0.517+0.586</f>
        <v>2.8839999999999999</v>
      </c>
      <c r="K11" s="16">
        <f>0.521+0.53+0.65+0.61+0.615</f>
        <v>2.9260000000000002</v>
      </c>
      <c r="L11" s="16">
        <f>0.59+0.597+0.61+0.599+0.6</f>
        <v>2.996</v>
      </c>
      <c r="M11" s="16">
        <f>0.621+0.6213+0.6212+0.636+0.55</f>
        <v>3.0495000000000001</v>
      </c>
      <c r="O11" s="31" t="s">
        <v>1</v>
      </c>
      <c r="P11" s="34">
        <f>0.5+0.5+0.5+0.5+0.5</f>
        <v>2.5</v>
      </c>
      <c r="Q11" s="34">
        <f>1+1+1+1+1</f>
        <v>5</v>
      </c>
      <c r="R11" s="34">
        <f>1+2+2+3+1</f>
        <v>9</v>
      </c>
      <c r="S11" s="34">
        <f>3+5+4+6+3</f>
        <v>21</v>
      </c>
      <c r="T11" s="34">
        <f>7+9+8+11+9</f>
        <v>44</v>
      </c>
    </row>
    <row r="12" spans="1:20" ht="38.25" hidden="1" customHeight="1" thickBot="1" x14ac:dyDescent="0.4">
      <c r="A12" s="2" t="s">
        <v>2</v>
      </c>
      <c r="B12" s="12">
        <v>3.5</v>
      </c>
      <c r="C12" s="12">
        <f>1+1+2+1+1</f>
        <v>6</v>
      </c>
      <c r="D12" s="12">
        <f>2+3+3+3+2</f>
        <v>13</v>
      </c>
      <c r="E12" s="12">
        <f>5+7+6+6+8</f>
        <v>32</v>
      </c>
      <c r="F12" s="12">
        <f>9+12+12+12+10</f>
        <v>55</v>
      </c>
      <c r="H12" s="2" t="s">
        <v>2</v>
      </c>
      <c r="I12" s="16">
        <f>93.92%+0.9395+0.9856+0.9381+0.921</f>
        <v>4.7233999999999998</v>
      </c>
      <c r="J12" s="16">
        <f>0.93+0.977+0.984+0.952+0.774</f>
        <v>4.617</v>
      </c>
      <c r="K12" s="16">
        <f>0.789+0.974+0.986+0.927+0.9</f>
        <v>4.5759999999999996</v>
      </c>
      <c r="L12" s="16">
        <f>0.801+0.812+0.911+0.92+0.98</f>
        <v>4.4239999999999995</v>
      </c>
      <c r="M12" s="16">
        <f>0.801+0.81+0.79+0.779+0.929</f>
        <v>4.109</v>
      </c>
      <c r="O12" s="31" t="s">
        <v>2</v>
      </c>
      <c r="P12" s="34">
        <f>0+0+0+1+1</f>
        <v>2</v>
      </c>
      <c r="Q12" s="34">
        <f>1+1+0.5+0.5+1</f>
        <v>4</v>
      </c>
      <c r="R12" s="34">
        <f>2+2+2+2+1</f>
        <v>9</v>
      </c>
      <c r="S12" s="34">
        <f>4+6+6+5+7</f>
        <v>28</v>
      </c>
      <c r="T12" s="34">
        <f>7+9+10+9+8</f>
        <v>43</v>
      </c>
    </row>
    <row r="13" spans="1:20" ht="38.25" hidden="1" customHeight="1" thickBot="1" x14ac:dyDescent="0.4">
      <c r="A13" s="2" t="s">
        <v>3</v>
      </c>
      <c r="B13" s="12">
        <f>0+1+0+0+1</f>
        <v>2</v>
      </c>
      <c r="C13" s="12">
        <f>1+1+1+1+2</f>
        <v>6</v>
      </c>
      <c r="D13" s="12">
        <f>3+2+3+3+4</f>
        <v>15</v>
      </c>
      <c r="E13" s="12">
        <f>5+5+6+6+6</f>
        <v>28</v>
      </c>
      <c r="F13" s="12"/>
      <c r="H13" s="2" t="s">
        <v>3</v>
      </c>
      <c r="I13" s="16">
        <f>0.704 +0.701+0.87+0.7023+0.995</f>
        <v>3.9723000000000002</v>
      </c>
      <c r="J13" s="16">
        <f>0.909+0.992+0.955+0.924+0.919</f>
        <v>4.6989999999999998</v>
      </c>
      <c r="K13" s="16">
        <f>0.861+0.974+0.897+0.978+0.996</f>
        <v>4.7059999999999995</v>
      </c>
      <c r="L13" s="16">
        <f>0.941+0.982+0.958+0.9097+0.92</f>
        <v>4.7107000000000001</v>
      </c>
      <c r="M13" s="16"/>
      <c r="O13" s="31" t="s">
        <v>3</v>
      </c>
      <c r="P13" s="34">
        <f>0+0+1+1+0</f>
        <v>2</v>
      </c>
      <c r="Q13" s="34">
        <f>0+1+0+2+1</f>
        <v>4</v>
      </c>
      <c r="R13" s="34">
        <f>3+2+3+4+4</f>
        <v>16</v>
      </c>
      <c r="S13" s="34">
        <f>4+5+6+6+7</f>
        <v>28</v>
      </c>
      <c r="T13" s="34"/>
    </row>
    <row r="14" spans="1:20" ht="38.25" hidden="1" customHeight="1" thickBot="1" x14ac:dyDescent="0.4">
      <c r="A14" s="3" t="s">
        <v>4</v>
      </c>
      <c r="B14" s="14">
        <f>0+0+1+0+0</f>
        <v>1</v>
      </c>
      <c r="C14" s="14">
        <f>1+1+1+1+2</f>
        <v>6</v>
      </c>
      <c r="D14" s="14">
        <f>2+3+3+4+4</f>
        <v>16</v>
      </c>
      <c r="E14" s="14">
        <f>5+6+7+8</f>
        <v>26</v>
      </c>
      <c r="F14" s="14"/>
      <c r="H14" s="3" t="s">
        <v>4</v>
      </c>
      <c r="I14" s="18">
        <f>0.997+0.998+0.998+1+1</f>
        <v>4.9930000000000003</v>
      </c>
      <c r="J14" s="18">
        <f>1+0.9885+1+1+1</f>
        <v>4.9885000000000002</v>
      </c>
      <c r="K14" s="18">
        <f>1+0.987+0.985+1+1</f>
        <v>4.9719999999999995</v>
      </c>
      <c r="L14" s="18">
        <f>1+0.995+0.988+1</f>
        <v>3.9830000000000001</v>
      </c>
      <c r="M14" s="18"/>
      <c r="O14" s="32" t="s">
        <v>4</v>
      </c>
      <c r="P14" s="14">
        <f>0+1+0+1+1</f>
        <v>3</v>
      </c>
      <c r="Q14" s="14">
        <f>1+1+1+1+1</f>
        <v>5</v>
      </c>
      <c r="R14" s="14">
        <f>1+3+3+3+4</f>
        <v>14</v>
      </c>
      <c r="S14" s="14">
        <f>4+6+7+8</f>
        <v>25</v>
      </c>
      <c r="T14" s="14"/>
    </row>
    <row r="15" spans="1:20" ht="30.75" hidden="1" customHeight="1" thickBot="1" x14ac:dyDescent="0.25"/>
    <row r="16" spans="1:20" ht="30.75" customHeight="1" thickBot="1" x14ac:dyDescent="0.25"/>
    <row r="17" spans="1:20" ht="46.5" customHeight="1" thickBot="1" x14ac:dyDescent="0.45">
      <c r="A17" s="9" t="s">
        <v>10</v>
      </c>
      <c r="B17" s="10"/>
      <c r="C17" s="10"/>
      <c r="D17" s="10"/>
      <c r="E17" s="10"/>
      <c r="F17" s="11"/>
      <c r="H17" s="23" t="s">
        <v>13</v>
      </c>
      <c r="I17" s="24"/>
      <c r="J17" s="24"/>
      <c r="K17" s="24"/>
      <c r="L17" s="24"/>
      <c r="M17" s="25"/>
      <c r="O17" s="23" t="s">
        <v>15</v>
      </c>
      <c r="P17" s="24"/>
      <c r="Q17" s="24"/>
      <c r="R17" s="24"/>
      <c r="S17" s="24"/>
      <c r="T17" s="25"/>
    </row>
    <row r="18" spans="1:20" ht="37.5" customHeight="1" thickBot="1" x14ac:dyDescent="0.4">
      <c r="A18" s="1" t="s">
        <v>0</v>
      </c>
      <c r="B18" s="4" t="s">
        <v>17</v>
      </c>
      <c r="C18" s="5" t="s">
        <v>18</v>
      </c>
      <c r="D18" s="6" t="s">
        <v>19</v>
      </c>
      <c r="E18" s="7" t="s">
        <v>20</v>
      </c>
      <c r="F18" s="8" t="s">
        <v>21</v>
      </c>
      <c r="H18" s="26" t="s">
        <v>0</v>
      </c>
      <c r="I18" s="4" t="s">
        <v>17</v>
      </c>
      <c r="J18" s="5" t="s">
        <v>18</v>
      </c>
      <c r="K18" s="6" t="s">
        <v>19</v>
      </c>
      <c r="L18" s="7" t="s">
        <v>20</v>
      </c>
      <c r="M18" s="8" t="s">
        <v>21</v>
      </c>
      <c r="O18" s="26" t="s">
        <v>0</v>
      </c>
      <c r="P18" s="7" t="s">
        <v>17</v>
      </c>
      <c r="Q18" s="5" t="s">
        <v>18</v>
      </c>
      <c r="R18" s="6" t="s">
        <v>19</v>
      </c>
      <c r="S18" s="7" t="s">
        <v>20</v>
      </c>
      <c r="T18" s="8" t="s">
        <v>21</v>
      </c>
    </row>
    <row r="19" spans="1:20" ht="37.5" customHeight="1" x14ac:dyDescent="0.35">
      <c r="A19" s="2" t="s">
        <v>1</v>
      </c>
      <c r="B19" s="34">
        <f>B11/B3</f>
        <v>0.5</v>
      </c>
      <c r="C19" s="34">
        <f t="shared" ref="C19:F19" si="0">C11/C3</f>
        <v>1.1000000000000001</v>
      </c>
      <c r="D19" s="34">
        <f t="shared" si="0"/>
        <v>2.6</v>
      </c>
      <c r="E19" s="34">
        <f>E11/E3</f>
        <v>5.6</v>
      </c>
      <c r="F19" s="13">
        <f t="shared" si="0"/>
        <v>10.6</v>
      </c>
      <c r="H19" s="31" t="s">
        <v>1</v>
      </c>
      <c r="I19" s="33">
        <f>100%- I11/B3</f>
        <v>0.43599999999999994</v>
      </c>
      <c r="J19" s="33">
        <f>100%- J11/C3</f>
        <v>0.42320000000000002</v>
      </c>
      <c r="K19" s="33">
        <f>100%- K11/D3</f>
        <v>0.41479999999999995</v>
      </c>
      <c r="L19" s="33">
        <f>100%- L11/E3</f>
        <v>0.40080000000000005</v>
      </c>
      <c r="M19" s="17">
        <f>100%- M11/F3</f>
        <v>0.3901</v>
      </c>
      <c r="O19" s="31" t="s">
        <v>1</v>
      </c>
      <c r="P19" s="34">
        <f>P11/B3</f>
        <v>0.5</v>
      </c>
      <c r="Q19" s="34">
        <f>Q11/C3</f>
        <v>1</v>
      </c>
      <c r="R19" s="34">
        <f>R11/D3</f>
        <v>1.8</v>
      </c>
      <c r="S19" s="34">
        <f>S11/E3</f>
        <v>4.2</v>
      </c>
      <c r="T19" s="13">
        <f>T11/F3</f>
        <v>8.8000000000000007</v>
      </c>
    </row>
    <row r="20" spans="1:20" ht="37.5" customHeight="1" x14ac:dyDescent="0.35">
      <c r="A20" s="2" t="s">
        <v>2</v>
      </c>
      <c r="B20" s="34">
        <f t="shared" ref="B20:F20" si="1">B12/B4</f>
        <v>0.7</v>
      </c>
      <c r="C20" s="34">
        <f t="shared" si="1"/>
        <v>1.2</v>
      </c>
      <c r="D20" s="34">
        <f t="shared" si="1"/>
        <v>2.6</v>
      </c>
      <c r="E20" s="34">
        <f t="shared" si="1"/>
        <v>6.4</v>
      </c>
      <c r="F20" s="13">
        <f t="shared" si="1"/>
        <v>11</v>
      </c>
      <c r="H20" s="31" t="s">
        <v>2</v>
      </c>
      <c r="I20" s="33">
        <f>100%- I12/B4</f>
        <v>5.5320000000000036E-2</v>
      </c>
      <c r="J20" s="33">
        <f>100%- J12/C4</f>
        <v>7.6600000000000001E-2</v>
      </c>
      <c r="K20" s="33">
        <f>100%- K12/D4</f>
        <v>8.4800000000000098E-2</v>
      </c>
      <c r="L20" s="33">
        <f>100%- L12/E4</f>
        <v>0.11520000000000008</v>
      </c>
      <c r="M20" s="17">
        <f>100%- M12/F4</f>
        <v>0.17820000000000003</v>
      </c>
      <c r="O20" s="31" t="s">
        <v>2</v>
      </c>
      <c r="P20" s="34">
        <f>P12/B4</f>
        <v>0.4</v>
      </c>
      <c r="Q20" s="34">
        <f>Q12/C4</f>
        <v>0.8</v>
      </c>
      <c r="R20" s="34">
        <f>R12/D4</f>
        <v>1.8</v>
      </c>
      <c r="S20" s="34">
        <f>S12/E4</f>
        <v>5.6</v>
      </c>
      <c r="T20" s="13">
        <f>T12/F4</f>
        <v>8.6</v>
      </c>
    </row>
    <row r="21" spans="1:20" ht="37.5" customHeight="1" x14ac:dyDescent="0.35">
      <c r="A21" s="2" t="s">
        <v>3</v>
      </c>
      <c r="B21" s="34">
        <f t="shared" ref="B21:E21" si="2">B13/B5</f>
        <v>0.4</v>
      </c>
      <c r="C21" s="34">
        <f t="shared" si="2"/>
        <v>1.2</v>
      </c>
      <c r="D21" s="34">
        <f t="shared" si="2"/>
        <v>3</v>
      </c>
      <c r="E21" s="34">
        <f t="shared" si="2"/>
        <v>5.6</v>
      </c>
      <c r="F21" s="13"/>
      <c r="H21" s="31" t="s">
        <v>3</v>
      </c>
      <c r="I21" s="33">
        <f>100%- I13/B5</f>
        <v>0.20553999999999994</v>
      </c>
      <c r="J21" s="33">
        <f>100%- J13/C5</f>
        <v>6.0200000000000031E-2</v>
      </c>
      <c r="K21" s="33">
        <f>100%- K13/D5</f>
        <v>5.8800000000000074E-2</v>
      </c>
      <c r="L21" s="33">
        <f>100%- L13/E5</f>
        <v>5.7860000000000023E-2</v>
      </c>
      <c r="M21" s="17"/>
      <c r="O21" s="31" t="s">
        <v>3</v>
      </c>
      <c r="P21" s="34">
        <f>P13/B5</f>
        <v>0.4</v>
      </c>
      <c r="Q21" s="34">
        <f>Q13/C5</f>
        <v>0.8</v>
      </c>
      <c r="R21" s="34">
        <f>R13/D5</f>
        <v>3.2</v>
      </c>
      <c r="S21" s="34">
        <f>S13/E5</f>
        <v>5.6</v>
      </c>
      <c r="T21" s="13"/>
    </row>
    <row r="22" spans="1:20" ht="37.5" customHeight="1" thickBot="1" x14ac:dyDescent="0.4">
      <c r="A22" s="3" t="s">
        <v>4</v>
      </c>
      <c r="B22" s="14">
        <f t="shared" ref="B22:E22" si="3">B14/B6</f>
        <v>0.2</v>
      </c>
      <c r="C22" s="14">
        <f t="shared" si="3"/>
        <v>1.2</v>
      </c>
      <c r="D22" s="14">
        <f t="shared" si="3"/>
        <v>3.2</v>
      </c>
      <c r="E22" s="14">
        <f t="shared" si="3"/>
        <v>6.5</v>
      </c>
      <c r="F22" s="15"/>
      <c r="H22" s="32" t="s">
        <v>4</v>
      </c>
      <c r="I22" s="18">
        <f>100%- I14/B6</f>
        <v>1.3999999999999568E-3</v>
      </c>
      <c r="J22" s="18">
        <f>100%- J14/C6</f>
        <v>2.2999999999999687E-3</v>
      </c>
      <c r="K22" s="18">
        <f>100%- K14/D6</f>
        <v>5.6000000000000494E-3</v>
      </c>
      <c r="L22" s="18">
        <f>100%- L14/E6</f>
        <v>4.249999999999976E-3</v>
      </c>
      <c r="M22" s="19"/>
      <c r="O22" s="32" t="s">
        <v>4</v>
      </c>
      <c r="P22" s="14">
        <f>P14/B6</f>
        <v>0.6</v>
      </c>
      <c r="Q22" s="14">
        <f>Q14/C6</f>
        <v>1</v>
      </c>
      <c r="R22" s="14">
        <f>R14/D6</f>
        <v>2.8</v>
      </c>
      <c r="S22" s="14">
        <f>S14/E6</f>
        <v>6.25</v>
      </c>
      <c r="T22" s="15"/>
    </row>
  </sheetData>
  <mergeCells count="7">
    <mergeCell ref="A1:F1"/>
    <mergeCell ref="H17:M17"/>
    <mergeCell ref="O9:T9"/>
    <mergeCell ref="O17:T17"/>
    <mergeCell ref="A9:F9"/>
    <mergeCell ref="H9:M9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Данилов</dc:creator>
  <cp:lastModifiedBy>Дмитрий Данилов</cp:lastModifiedBy>
  <dcterms:created xsi:type="dcterms:W3CDTF">2025-02-18T15:36:27Z</dcterms:created>
  <dcterms:modified xsi:type="dcterms:W3CDTF">2025-02-20T12:02:14Z</dcterms:modified>
</cp:coreProperties>
</file>